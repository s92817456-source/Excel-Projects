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8126B35-F574-4455-B85A-3AE134ECD1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b Tracker" sheetId="1" r:id="rId1"/>
    <sheet name="Dashboard" sheetId="2" r:id="rId2"/>
    <sheet name="Lists &amp; Instructions" sheetId="3" r:id="rId3"/>
  </sheets>
  <definedNames>
    <definedName name="_xlnm._FilterDatabase" localSheetId="0" hidden="1">'Job Tracker'!$A$1:$T$20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E10" i="2"/>
  <c r="B10" i="2"/>
  <c r="E9" i="2"/>
  <c r="B9" i="2"/>
  <c r="E8" i="2"/>
  <c r="B8" i="2"/>
  <c r="E7" i="2"/>
  <c r="B7" i="2"/>
  <c r="E6" i="2"/>
  <c r="B6" i="2"/>
  <c r="E5" i="2"/>
  <c r="B5" i="2"/>
  <c r="B4" i="2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<sst xmlns="http://schemas.openxmlformats.org/spreadsheetml/2006/main" count="330" uniqueCount="148">
  <si>
    <t>Job ID</t>
  </si>
  <si>
    <t>Date Added</t>
  </si>
  <si>
    <t>Company</t>
  </si>
  <si>
    <t>Job Title</t>
  </si>
  <si>
    <t>Location</t>
  </si>
  <si>
    <t>Experience</t>
  </si>
  <si>
    <t>Work Mode</t>
  </si>
  <si>
    <t>Platform</t>
  </si>
  <si>
    <t>Job URL</t>
  </si>
  <si>
    <t>Skills / Keywords</t>
  </si>
  <si>
    <t>Match %</t>
  </si>
  <si>
    <t>Referral</t>
  </si>
  <si>
    <t>Applied?</t>
  </si>
  <si>
    <t>Applied Date</t>
  </si>
  <si>
    <t>Status</t>
  </si>
  <si>
    <t>Follow-up Date</t>
  </si>
  <si>
    <t>Interview Round</t>
  </si>
  <si>
    <t>Contact / Referral Name</t>
  </si>
  <si>
    <t>Salary</t>
  </si>
  <si>
    <t>Notes</t>
  </si>
  <si>
    <t>Associate Data Scientist</t>
  </si>
  <si>
    <t>Hyderabad</t>
  </si>
  <si>
    <t>0–1 yrs</t>
  </si>
  <si>
    <t>Indeed</t>
  </si>
  <si>
    <t>Needed</t>
  </si>
  <si>
    <t>No</t>
  </si>
  <si>
    <t>Not Applied</t>
  </si>
  <si>
    <t>NPCI</t>
  </si>
  <si>
    <t>Associate Data Science</t>
  </si>
  <si>
    <t>1–3 yrs</t>
  </si>
  <si>
    <t>Not specified</t>
  </si>
  <si>
    <t>Naukri</t>
  </si>
  <si>
    <t>Python; SQL; ML; Fraud/Risk; Feature Engineering; GenAI</t>
  </si>
  <si>
    <t>Not disclosed</t>
  </si>
  <si>
    <t>Target role</t>
  </si>
  <si>
    <t>Amgen</t>
  </si>
  <si>
    <t>LinkedIn</t>
  </si>
  <si>
    <t>https://in.linkedin.com/jobs/data-scientist-associate-jobs</t>
  </si>
  <si>
    <t>Python; SQL; EDA; Feature Engineering; Predictive Modelling</t>
  </si>
  <si>
    <t>Not listed</t>
  </si>
  <si>
    <t>Track exact posting</t>
  </si>
  <si>
    <t>Circle K</t>
  </si>
  <si>
    <t>Associate Data Scientist – Enterprise &amp; Reporting</t>
  </si>
  <si>
    <t>Gurugram / India</t>
  </si>
  <si>
    <t>Company Careers</t>
  </si>
  <si>
    <t>https://circlek.wd3.myworkdayjobs.com/en-US/CircleKStoreJobs/job/Associate-Data-Scientist---Enterprise---Reporting_R602359-4</t>
  </si>
  <si>
    <t>Data Cleaning; EDA; Model Building; Advanced Analytics</t>
  </si>
  <si>
    <t>Posting deadline shown as Sep 15, 2026; verify before applying</t>
  </si>
  <si>
    <t>JPMorganChase</t>
  </si>
  <si>
    <t>Data Scientist Associate – Payments Data &amp; Analytics</t>
  </si>
  <si>
    <t>Mumbai</t>
  </si>
  <si>
    <t>Data Science; Payments; Analytics; ML</t>
  </si>
  <si>
    <t>Search exact posting</t>
  </si>
  <si>
    <t>Data Scientist Associate</t>
  </si>
  <si>
    <t>Bengaluru</t>
  </si>
  <si>
    <t>Data Science; Analytics; ML</t>
  </si>
  <si>
    <t>ZIGRAM</t>
  </si>
  <si>
    <t>Gurugram</t>
  </si>
  <si>
    <t>Python; SQL; Data Science; ML</t>
  </si>
  <si>
    <t>Aera Technology</t>
  </si>
  <si>
    <t>Associate Data Scientist – Optimization &amp; Operations Research</t>
  </si>
  <si>
    <t>Pune</t>
  </si>
  <si>
    <t>Optimization; Operations Research; Data Science</t>
  </si>
  <si>
    <t>Trinity Life Sciences</t>
  </si>
  <si>
    <t>Associate Data Scientist, AI Engineering</t>
  </si>
  <si>
    <t>AI; Data Science; ML</t>
  </si>
  <si>
    <t>PwC Acceleration Center India</t>
  </si>
  <si>
    <t>Associate – Deals – Data Science</t>
  </si>
  <si>
    <t>Data Science; Analytics; Business</t>
  </si>
  <si>
    <t>BNP Paribas</t>
  </si>
  <si>
    <t>Associate – Data Scientist</t>
  </si>
  <si>
    <t>Python; SQL; Data Science; Analytics</t>
  </si>
  <si>
    <t>Axtria – Ingenious Insights</t>
  </si>
  <si>
    <t>Associate – Decision Science</t>
  </si>
  <si>
    <t>Decision Science; Analytics; Statistics</t>
  </si>
  <si>
    <t>RapidClaims</t>
  </si>
  <si>
    <t>Junior Data Scientist</t>
  </si>
  <si>
    <t>Python; ML; Data Science</t>
  </si>
  <si>
    <t>Entry-level target</t>
  </si>
  <si>
    <t>Kroll</t>
  </si>
  <si>
    <t>Data Scientist I</t>
  </si>
  <si>
    <t>Data Science; ML; Analytics</t>
  </si>
  <si>
    <t>Entry-level/early career target</t>
  </si>
  <si>
    <t>Purplle.com</t>
  </si>
  <si>
    <t>Data Scientist – I</t>
  </si>
  <si>
    <t>https://in.linkedin.com/jobs/associate-data-scientist-jobs</t>
  </si>
  <si>
    <t>Python; SQL; ML; Analytics</t>
  </si>
  <si>
    <t>EXL</t>
  </si>
  <si>
    <t>Data Scientist</t>
  </si>
  <si>
    <t>Noida</t>
  </si>
  <si>
    <t>Tredence</t>
  </si>
  <si>
    <t>Insurity</t>
  </si>
  <si>
    <t>Python; SQL; ML; Data Science</t>
  </si>
  <si>
    <t>Citi</t>
  </si>
  <si>
    <t>GEN AI Analyst</t>
  </si>
  <si>
    <t>Haryana</t>
  </si>
  <si>
    <t>Python; GenAI; Analytics</t>
  </si>
  <si>
    <t>Adjacent role</t>
  </si>
  <si>
    <t>Paytm</t>
  </si>
  <si>
    <t>Data Science – Data Scientist</t>
  </si>
  <si>
    <t>https://in.indeed.com/q-data-scientist-0-to-1-year-experience-jobs.html</t>
  </si>
  <si>
    <t>Data Science; Fraud/Risk; ML</t>
  </si>
  <si>
    <t>Indeed listing</t>
  </si>
  <si>
    <t>DATA SCIENCE JOB APPLICATION TRACKER</t>
  </si>
  <si>
    <t>Total Jobs</t>
  </si>
  <si>
    <t>Count</t>
  </si>
  <si>
    <t>Applications</t>
  </si>
  <si>
    <t>Shortlisted</t>
  </si>
  <si>
    <t>Applied</t>
  </si>
  <si>
    <t>Interviews</t>
  </si>
  <si>
    <t>Offers</t>
  </si>
  <si>
    <t>Assessment</t>
  </si>
  <si>
    <t>Rejected</t>
  </si>
  <si>
    <t>HR Round</t>
  </si>
  <si>
    <t>Follow-ups Due</t>
  </si>
  <si>
    <t>Technical Round</t>
  </si>
  <si>
    <t>Final Round</t>
  </si>
  <si>
    <t>Offer</t>
  </si>
  <si>
    <t>Suggested workflow</t>
  </si>
  <si>
    <t>1. Add every relevant job to Job Tracker.</t>
  </si>
  <si>
    <t>On Hold</t>
  </si>
  <si>
    <t>2. Open the Job URL and verify the posting is still active.</t>
  </si>
  <si>
    <t>3. Mark Applied? = Yes only after submitting.</t>
  </si>
  <si>
    <t>4. Add a Follow-up Date (e.g., 5–7 days after applying).</t>
  </si>
  <si>
    <t>5. Update Status after every assessment/interview.</t>
  </si>
  <si>
    <t>6. Use Referral and Contact / Referral Name to track networking.</t>
  </si>
  <si>
    <t>TRACKER SETTINGS</t>
  </si>
  <si>
    <t>Status values</t>
  </si>
  <si>
    <t>Platforms</t>
  </si>
  <si>
    <t>Core skills to track</t>
  </si>
  <si>
    <t>Python</t>
  </si>
  <si>
    <t>SQL / MySQL</t>
  </si>
  <si>
    <t>Pandas</t>
  </si>
  <si>
    <t>NumPy</t>
  </si>
  <si>
    <t>Glassdoor</t>
  </si>
  <si>
    <t>EDA</t>
  </si>
  <si>
    <t>Shine</t>
  </si>
  <si>
    <t>Statistics</t>
  </si>
  <si>
    <t>Machine Learning</t>
  </si>
  <si>
    <t>Other</t>
  </si>
  <si>
    <t>Scikit-learn</t>
  </si>
  <si>
    <t>Power BI</t>
  </si>
  <si>
    <t>Excel</t>
  </si>
  <si>
    <t>NLP</t>
  </si>
  <si>
    <t>GenAI</t>
  </si>
  <si>
    <t>Git/GitHub</t>
  </si>
  <si>
    <t>Seed jobs were collected from current job-search results on 16-Sep-2026; always verify the live posting before applying.</t>
  </si>
  <si>
    <t>https://www.naukri.com/job-listings-associate-data-science-national-payments-corporation-of-india-hyderabad-1-to-3-years-140726503639?src=jobsearchDesk&amp;sid=17895771410245717&amp;xp=1&amp;px=1&amp;nignbevent_src=jobsearchDeskGNB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</si>
</sst>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0"/>
      <color rgb="FF1F4E78"/>
      <name val="Calibri"/>
      <family val="2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4"/>
      <color rgb="FF1F4E78"/>
      <name val="Calibri"/>
      <family val="2"/>
    </font>
    <font>
      <b/>
      <sz val="16"/>
      <color rgb="FF1F4E78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4" borderId="1" xfId="0" applyFont="1" applyFill="1" applyBorder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0" borderId="0" xfId="0"/>
    <xf numFmtId="0" fontId="8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Applications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Dashboard!$D$5:$D$14</c:f>
              <c:strCache>
                <c:ptCount val="10"/>
                <c:pt idx="0">
                  <c:v>Not Applied</c:v>
                </c:pt>
                <c:pt idx="1">
                  <c:v>Applied</c:v>
                </c:pt>
                <c:pt idx="2">
                  <c:v>Shortlisted</c:v>
                </c:pt>
                <c:pt idx="3">
                  <c:v>Assessment</c:v>
                </c:pt>
                <c:pt idx="4">
                  <c:v>HR Round</c:v>
                </c:pt>
                <c:pt idx="5">
                  <c:v>Technical Round</c:v>
                </c:pt>
                <c:pt idx="6">
                  <c:v>Final Round</c:v>
                </c:pt>
                <c:pt idx="7">
                  <c:v>Offer</c:v>
                </c:pt>
                <c:pt idx="8">
                  <c:v>Rejected</c:v>
                </c:pt>
                <c:pt idx="9">
                  <c:v>On Hold</c:v>
                </c:pt>
              </c:strCache>
            </c:strRef>
          </c:cat>
          <c:val>
            <c:numRef>
              <c:f>Dashboard!$E$5:$E$14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A-4937-9C2C-21D348353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Jobs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ukri.com/job-listings-associate-data-science-national-payments-corporation-of-india-hyderabad-1-to-3-years-140726503639?src=jobsearchDesk&amp;sid=17895771410245717&amp;xp=1&amp;px=1&amp;nignbevent_src=jobsearchDeskGN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showGridLines="0" tabSelected="1" topLeftCell="D1" workbookViewId="0">
      <pane ySplit="1" topLeftCell="A2" activePane="bottomLeft" state="frozen"/>
      <selection pane="bottomLeft" activeCell="I3" sqref="I3"/>
    </sheetView>
  </sheetViews>
  <sheetFormatPr defaultRowHeight="14.5" x14ac:dyDescent="0.35"/>
  <cols>
    <col min="1" max="1" width="8" customWidth="1"/>
    <col min="2" max="2" width="12" customWidth="1"/>
    <col min="3" max="3" width="22" customWidth="1"/>
    <col min="4" max="4" width="34" customWidth="1"/>
    <col min="5" max="5" width="20" customWidth="1"/>
    <col min="6" max="7" width="14" customWidth="1"/>
    <col min="8" max="8" width="18" customWidth="1"/>
    <col min="9" max="9" width="55" customWidth="1"/>
    <col min="10" max="10" width="45" customWidth="1"/>
    <col min="11" max="11" width="11" customWidth="1"/>
    <col min="12" max="13" width="12" customWidth="1"/>
    <col min="14" max="14" width="14" customWidth="1"/>
    <col min="15" max="15" width="18" customWidth="1"/>
    <col min="16" max="16" width="16" customWidth="1"/>
    <col min="17" max="17" width="18" customWidth="1"/>
    <col min="18" max="18" width="24" customWidth="1"/>
    <col min="19" max="19" width="20" customWidth="1"/>
    <col min="20" max="20" width="38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72.5" x14ac:dyDescent="0.35">
      <c r="A2" s="2">
        <v>2</v>
      </c>
      <c r="B2" s="3">
        <v>46281</v>
      </c>
      <c r="C2" s="2" t="s">
        <v>27</v>
      </c>
      <c r="D2" s="2" t="s">
        <v>28</v>
      </c>
      <c r="E2" s="2" t="s">
        <v>21</v>
      </c>
      <c r="F2" s="2" t="s">
        <v>29</v>
      </c>
      <c r="G2" s="2" t="s">
        <v>30</v>
      </c>
      <c r="H2" s="2" t="s">
        <v>31</v>
      </c>
      <c r="I2" s="13" t="s">
        <v>147</v>
      </c>
      <c r="J2" s="2" t="s">
        <v>32</v>
      </c>
      <c r="K2" s="2">
        <f t="shared" ref="K2:K20" si="0">IF(J2="","",ROUND(MIN(100,COUNTIF(J2,"*Python*")*20+COUNTIF(J2,"*SQL*")*20+COUNTIF(J2,"*ML*")*20+COUNTIF(J2,"*Data Science*")*20+COUNTIF(J2,"*Analytics*")*10+COUNTIF(J2,"*Statistics*")*10),0))</f>
        <v>60</v>
      </c>
      <c r="L2" s="2" t="s">
        <v>24</v>
      </c>
      <c r="M2" s="2" t="s">
        <v>25</v>
      </c>
      <c r="N2" s="3"/>
      <c r="O2" s="2" t="s">
        <v>26</v>
      </c>
      <c r="P2" s="3"/>
      <c r="Q2" s="2"/>
      <c r="R2" s="2"/>
      <c r="S2" s="2" t="s">
        <v>33</v>
      </c>
      <c r="T2" s="2" t="s">
        <v>34</v>
      </c>
    </row>
    <row r="3" spans="1:20" ht="29" x14ac:dyDescent="0.35">
      <c r="A3" s="2">
        <v>3</v>
      </c>
      <c r="B3" s="3">
        <v>46281</v>
      </c>
      <c r="C3" s="2" t="s">
        <v>35</v>
      </c>
      <c r="D3" s="2" t="s">
        <v>28</v>
      </c>
      <c r="E3" s="2" t="s">
        <v>21</v>
      </c>
      <c r="F3" s="2" t="s">
        <v>30</v>
      </c>
      <c r="G3" s="2" t="s">
        <v>30</v>
      </c>
      <c r="H3" s="2" t="s">
        <v>36</v>
      </c>
      <c r="I3" s="2" t="s">
        <v>37</v>
      </c>
      <c r="J3" s="2" t="s">
        <v>38</v>
      </c>
      <c r="K3" s="2">
        <f t="shared" si="0"/>
        <v>40</v>
      </c>
      <c r="L3" s="2" t="s">
        <v>24</v>
      </c>
      <c r="M3" s="2" t="s">
        <v>25</v>
      </c>
      <c r="N3" s="3"/>
      <c r="O3" s="2" t="s">
        <v>26</v>
      </c>
      <c r="P3" s="3"/>
      <c r="Q3" s="2"/>
      <c r="R3" s="2"/>
      <c r="S3" s="2" t="s">
        <v>39</v>
      </c>
      <c r="T3" s="2" t="s">
        <v>40</v>
      </c>
    </row>
    <row r="4" spans="1:20" ht="43.5" x14ac:dyDescent="0.35">
      <c r="A4" s="2">
        <v>4</v>
      </c>
      <c r="B4" s="3">
        <v>46281</v>
      </c>
      <c r="C4" s="2" t="s">
        <v>41</v>
      </c>
      <c r="D4" s="2" t="s">
        <v>42</v>
      </c>
      <c r="E4" s="2" t="s">
        <v>43</v>
      </c>
      <c r="F4" s="2" t="s">
        <v>30</v>
      </c>
      <c r="G4" s="2" t="s">
        <v>30</v>
      </c>
      <c r="H4" s="2" t="s">
        <v>44</v>
      </c>
      <c r="I4" s="2" t="s">
        <v>45</v>
      </c>
      <c r="J4" s="2" t="s">
        <v>46</v>
      </c>
      <c r="K4" s="2">
        <f t="shared" si="0"/>
        <v>10</v>
      </c>
      <c r="L4" s="2" t="s">
        <v>24</v>
      </c>
      <c r="M4" s="2" t="s">
        <v>25</v>
      </c>
      <c r="N4" s="3"/>
      <c r="O4" s="2" t="s">
        <v>26</v>
      </c>
      <c r="P4" s="3"/>
      <c r="Q4" s="2"/>
      <c r="R4" s="2"/>
      <c r="S4" s="2" t="s">
        <v>39</v>
      </c>
      <c r="T4" s="2" t="s">
        <v>47</v>
      </c>
    </row>
    <row r="5" spans="1:20" ht="29" x14ac:dyDescent="0.35">
      <c r="A5" s="2">
        <v>5</v>
      </c>
      <c r="B5" s="3">
        <v>46281</v>
      </c>
      <c r="C5" s="2" t="s">
        <v>48</v>
      </c>
      <c r="D5" s="2" t="s">
        <v>49</v>
      </c>
      <c r="E5" s="2" t="s">
        <v>50</v>
      </c>
      <c r="F5" s="2" t="s">
        <v>30</v>
      </c>
      <c r="G5" s="2" t="s">
        <v>30</v>
      </c>
      <c r="H5" s="2" t="s">
        <v>36</v>
      </c>
      <c r="I5" s="2" t="s">
        <v>37</v>
      </c>
      <c r="J5" s="2" t="s">
        <v>51</v>
      </c>
      <c r="K5" s="2">
        <f t="shared" si="0"/>
        <v>50</v>
      </c>
      <c r="L5" s="2" t="s">
        <v>24</v>
      </c>
      <c r="M5" s="2" t="s">
        <v>25</v>
      </c>
      <c r="N5" s="3"/>
      <c r="O5" s="2" t="s">
        <v>26</v>
      </c>
      <c r="P5" s="3"/>
      <c r="Q5" s="2"/>
      <c r="R5" s="2"/>
      <c r="S5" s="2" t="s">
        <v>39</v>
      </c>
      <c r="T5" s="2" t="s">
        <v>52</v>
      </c>
    </row>
    <row r="6" spans="1:20" x14ac:dyDescent="0.35">
      <c r="A6" s="2">
        <v>6</v>
      </c>
      <c r="B6" s="3">
        <v>46281</v>
      </c>
      <c r="C6" s="2" t="s">
        <v>48</v>
      </c>
      <c r="D6" s="2" t="s">
        <v>53</v>
      </c>
      <c r="E6" s="2" t="s">
        <v>54</v>
      </c>
      <c r="F6" s="2" t="s">
        <v>30</v>
      </c>
      <c r="G6" s="2" t="s">
        <v>30</v>
      </c>
      <c r="H6" s="2" t="s">
        <v>36</v>
      </c>
      <c r="I6" s="2" t="s">
        <v>37</v>
      </c>
      <c r="J6" s="2" t="s">
        <v>55</v>
      </c>
      <c r="K6" s="2">
        <f t="shared" si="0"/>
        <v>50</v>
      </c>
      <c r="L6" s="2" t="s">
        <v>24</v>
      </c>
      <c r="M6" s="2" t="s">
        <v>25</v>
      </c>
      <c r="N6" s="3"/>
      <c r="O6" s="2" t="s">
        <v>26</v>
      </c>
      <c r="P6" s="3"/>
      <c r="Q6" s="2"/>
      <c r="R6" s="2"/>
      <c r="S6" s="2" t="s">
        <v>39</v>
      </c>
      <c r="T6" s="2" t="s">
        <v>52</v>
      </c>
    </row>
    <row r="7" spans="1:20" x14ac:dyDescent="0.35">
      <c r="A7" s="2">
        <v>7</v>
      </c>
      <c r="B7" s="3">
        <v>46281</v>
      </c>
      <c r="C7" s="2" t="s">
        <v>56</v>
      </c>
      <c r="D7" s="2" t="s">
        <v>20</v>
      </c>
      <c r="E7" s="2" t="s">
        <v>57</v>
      </c>
      <c r="F7" s="2" t="s">
        <v>30</v>
      </c>
      <c r="G7" s="2" t="s">
        <v>30</v>
      </c>
      <c r="H7" s="2" t="s">
        <v>36</v>
      </c>
      <c r="I7" s="2" t="s">
        <v>37</v>
      </c>
      <c r="J7" s="2" t="s">
        <v>58</v>
      </c>
      <c r="K7" s="2">
        <f t="shared" si="0"/>
        <v>80</v>
      </c>
      <c r="L7" s="2" t="s">
        <v>24</v>
      </c>
      <c r="M7" s="2" t="s">
        <v>25</v>
      </c>
      <c r="N7" s="3"/>
      <c r="O7" s="2" t="s">
        <v>26</v>
      </c>
      <c r="P7" s="3"/>
      <c r="Q7" s="2"/>
      <c r="R7" s="2"/>
      <c r="S7" s="2" t="s">
        <v>39</v>
      </c>
      <c r="T7" s="2" t="s">
        <v>52</v>
      </c>
    </row>
    <row r="8" spans="1:20" ht="29" x14ac:dyDescent="0.35">
      <c r="A8" s="2">
        <v>8</v>
      </c>
      <c r="B8" s="3">
        <v>46281</v>
      </c>
      <c r="C8" s="2" t="s">
        <v>59</v>
      </c>
      <c r="D8" s="2" t="s">
        <v>60</v>
      </c>
      <c r="E8" s="2" t="s">
        <v>61</v>
      </c>
      <c r="F8" s="2" t="s">
        <v>30</v>
      </c>
      <c r="G8" s="2" t="s">
        <v>30</v>
      </c>
      <c r="H8" s="2" t="s">
        <v>36</v>
      </c>
      <c r="I8" s="2" t="s">
        <v>37</v>
      </c>
      <c r="J8" s="2" t="s">
        <v>62</v>
      </c>
      <c r="K8" s="2">
        <f t="shared" si="0"/>
        <v>20</v>
      </c>
      <c r="L8" s="2" t="s">
        <v>24</v>
      </c>
      <c r="M8" s="2" t="s">
        <v>25</v>
      </c>
      <c r="N8" s="3"/>
      <c r="O8" s="2" t="s">
        <v>26</v>
      </c>
      <c r="P8" s="3"/>
      <c r="Q8" s="2"/>
      <c r="R8" s="2"/>
      <c r="S8" s="2" t="s">
        <v>39</v>
      </c>
      <c r="T8" s="2" t="s">
        <v>52</v>
      </c>
    </row>
    <row r="9" spans="1:20" x14ac:dyDescent="0.35">
      <c r="A9" s="2">
        <v>9</v>
      </c>
      <c r="B9" s="3">
        <v>46281</v>
      </c>
      <c r="C9" s="2" t="s">
        <v>63</v>
      </c>
      <c r="D9" s="2" t="s">
        <v>64</v>
      </c>
      <c r="E9" s="2" t="s">
        <v>54</v>
      </c>
      <c r="F9" s="2" t="s">
        <v>30</v>
      </c>
      <c r="G9" s="2" t="s">
        <v>30</v>
      </c>
      <c r="H9" s="2" t="s">
        <v>36</v>
      </c>
      <c r="I9" s="2" t="s">
        <v>37</v>
      </c>
      <c r="J9" s="2" t="s">
        <v>65</v>
      </c>
      <c r="K9" s="2">
        <f t="shared" si="0"/>
        <v>40</v>
      </c>
      <c r="L9" s="2" t="s">
        <v>24</v>
      </c>
      <c r="M9" s="2" t="s">
        <v>25</v>
      </c>
      <c r="N9" s="3"/>
      <c r="O9" s="2" t="s">
        <v>26</v>
      </c>
      <c r="P9" s="3"/>
      <c r="Q9" s="2"/>
      <c r="R9" s="2"/>
      <c r="S9" s="2" t="s">
        <v>39</v>
      </c>
      <c r="T9" s="2" t="s">
        <v>52</v>
      </c>
    </row>
    <row r="10" spans="1:20" ht="29" x14ac:dyDescent="0.35">
      <c r="A10" s="2">
        <v>10</v>
      </c>
      <c r="B10" s="3">
        <v>46281</v>
      </c>
      <c r="C10" s="2" t="s">
        <v>66</v>
      </c>
      <c r="D10" s="2" t="s">
        <v>67</v>
      </c>
      <c r="E10" s="2" t="s">
        <v>54</v>
      </c>
      <c r="F10" s="2" t="s">
        <v>30</v>
      </c>
      <c r="G10" s="2" t="s">
        <v>30</v>
      </c>
      <c r="H10" s="2" t="s">
        <v>36</v>
      </c>
      <c r="I10" s="2" t="s">
        <v>37</v>
      </c>
      <c r="J10" s="2" t="s">
        <v>68</v>
      </c>
      <c r="K10" s="2">
        <f t="shared" si="0"/>
        <v>30</v>
      </c>
      <c r="L10" s="2" t="s">
        <v>24</v>
      </c>
      <c r="M10" s="2" t="s">
        <v>25</v>
      </c>
      <c r="N10" s="3"/>
      <c r="O10" s="2" t="s">
        <v>26</v>
      </c>
      <c r="P10" s="3"/>
      <c r="Q10" s="2"/>
      <c r="R10" s="2"/>
      <c r="S10" s="2" t="s">
        <v>39</v>
      </c>
      <c r="T10" s="2" t="s">
        <v>52</v>
      </c>
    </row>
    <row r="11" spans="1:20" x14ac:dyDescent="0.35">
      <c r="A11" s="2">
        <v>11</v>
      </c>
      <c r="B11" s="3">
        <v>46281</v>
      </c>
      <c r="C11" s="2" t="s">
        <v>69</v>
      </c>
      <c r="D11" s="2" t="s">
        <v>70</v>
      </c>
      <c r="E11" s="2" t="s">
        <v>50</v>
      </c>
      <c r="F11" s="2" t="s">
        <v>30</v>
      </c>
      <c r="G11" s="2" t="s">
        <v>30</v>
      </c>
      <c r="H11" s="2" t="s">
        <v>36</v>
      </c>
      <c r="I11" s="2" t="s">
        <v>37</v>
      </c>
      <c r="J11" s="2" t="s">
        <v>71</v>
      </c>
      <c r="K11" s="2">
        <f t="shared" si="0"/>
        <v>70</v>
      </c>
      <c r="L11" s="2" t="s">
        <v>24</v>
      </c>
      <c r="M11" s="2" t="s">
        <v>25</v>
      </c>
      <c r="N11" s="3"/>
      <c r="O11" s="2" t="s">
        <v>26</v>
      </c>
      <c r="P11" s="3"/>
      <c r="Q11" s="2"/>
      <c r="R11" s="2"/>
      <c r="S11" s="2" t="s">
        <v>39</v>
      </c>
      <c r="T11" s="2" t="s">
        <v>52</v>
      </c>
    </row>
    <row r="12" spans="1:20" ht="29" x14ac:dyDescent="0.35">
      <c r="A12" s="2">
        <v>12</v>
      </c>
      <c r="B12" s="3">
        <v>46281</v>
      </c>
      <c r="C12" s="2" t="s">
        <v>72</v>
      </c>
      <c r="D12" s="2" t="s">
        <v>73</v>
      </c>
      <c r="E12" s="2" t="s">
        <v>61</v>
      </c>
      <c r="F12" s="2" t="s">
        <v>30</v>
      </c>
      <c r="G12" s="2" t="s">
        <v>30</v>
      </c>
      <c r="H12" s="2" t="s">
        <v>36</v>
      </c>
      <c r="I12" s="2" t="s">
        <v>37</v>
      </c>
      <c r="J12" s="2" t="s">
        <v>74</v>
      </c>
      <c r="K12" s="2">
        <f t="shared" si="0"/>
        <v>20</v>
      </c>
      <c r="L12" s="2" t="s">
        <v>24</v>
      </c>
      <c r="M12" s="2" t="s">
        <v>25</v>
      </c>
      <c r="N12" s="3"/>
      <c r="O12" s="2" t="s">
        <v>26</v>
      </c>
      <c r="P12" s="3"/>
      <c r="Q12" s="2"/>
      <c r="R12" s="2"/>
      <c r="S12" s="2" t="s">
        <v>39</v>
      </c>
      <c r="T12" s="2" t="s">
        <v>52</v>
      </c>
    </row>
    <row r="13" spans="1:20" x14ac:dyDescent="0.35">
      <c r="A13" s="2">
        <v>13</v>
      </c>
      <c r="B13" s="3">
        <v>46281</v>
      </c>
      <c r="C13" s="2" t="s">
        <v>75</v>
      </c>
      <c r="D13" s="2" t="s">
        <v>76</v>
      </c>
      <c r="E13" s="2" t="s">
        <v>54</v>
      </c>
      <c r="F13" s="2" t="s">
        <v>30</v>
      </c>
      <c r="G13" s="2" t="s">
        <v>30</v>
      </c>
      <c r="H13" s="2" t="s">
        <v>36</v>
      </c>
      <c r="I13" s="2" t="s">
        <v>37</v>
      </c>
      <c r="J13" s="2" t="s">
        <v>77</v>
      </c>
      <c r="K13" s="2">
        <f t="shared" si="0"/>
        <v>60</v>
      </c>
      <c r="L13" s="2" t="s">
        <v>24</v>
      </c>
      <c r="M13" s="2" t="s">
        <v>25</v>
      </c>
      <c r="N13" s="3"/>
      <c r="O13" s="2" t="s">
        <v>26</v>
      </c>
      <c r="P13" s="3"/>
      <c r="Q13" s="2"/>
      <c r="R13" s="2"/>
      <c r="S13" s="2" t="s">
        <v>39</v>
      </c>
      <c r="T13" s="2" t="s">
        <v>78</v>
      </c>
    </row>
    <row r="14" spans="1:20" x14ac:dyDescent="0.35">
      <c r="A14" s="2">
        <v>14</v>
      </c>
      <c r="B14" s="3">
        <v>46281</v>
      </c>
      <c r="C14" s="2" t="s">
        <v>79</v>
      </c>
      <c r="D14" s="2" t="s">
        <v>80</v>
      </c>
      <c r="E14" s="2" t="s">
        <v>21</v>
      </c>
      <c r="F14" s="2" t="s">
        <v>30</v>
      </c>
      <c r="G14" s="2" t="s">
        <v>30</v>
      </c>
      <c r="H14" s="2" t="s">
        <v>36</v>
      </c>
      <c r="I14" s="2" t="s">
        <v>37</v>
      </c>
      <c r="J14" s="2" t="s">
        <v>81</v>
      </c>
      <c r="K14" s="2">
        <f t="shared" si="0"/>
        <v>50</v>
      </c>
      <c r="L14" s="2" t="s">
        <v>24</v>
      </c>
      <c r="M14" s="2" t="s">
        <v>25</v>
      </c>
      <c r="N14" s="3"/>
      <c r="O14" s="2" t="s">
        <v>26</v>
      </c>
      <c r="P14" s="3"/>
      <c r="Q14" s="2"/>
      <c r="R14" s="2"/>
      <c r="S14" s="2" t="s">
        <v>39</v>
      </c>
      <c r="T14" s="2" t="s">
        <v>82</v>
      </c>
    </row>
    <row r="15" spans="1:20" x14ac:dyDescent="0.35">
      <c r="A15" s="2">
        <v>15</v>
      </c>
      <c r="B15" s="3">
        <v>46281</v>
      </c>
      <c r="C15" s="2" t="s">
        <v>83</v>
      </c>
      <c r="D15" s="2" t="s">
        <v>84</v>
      </c>
      <c r="E15" s="2" t="s">
        <v>50</v>
      </c>
      <c r="F15" s="2" t="s">
        <v>30</v>
      </c>
      <c r="G15" s="2" t="s">
        <v>30</v>
      </c>
      <c r="H15" s="2" t="s">
        <v>36</v>
      </c>
      <c r="I15" s="2" t="s">
        <v>85</v>
      </c>
      <c r="J15" s="2" t="s">
        <v>86</v>
      </c>
      <c r="K15" s="2">
        <f t="shared" si="0"/>
        <v>70</v>
      </c>
      <c r="L15" s="2" t="s">
        <v>24</v>
      </c>
      <c r="M15" s="2" t="s">
        <v>25</v>
      </c>
      <c r="N15" s="3"/>
      <c r="O15" s="2" t="s">
        <v>26</v>
      </c>
      <c r="P15" s="3"/>
      <c r="Q15" s="2"/>
      <c r="R15" s="2"/>
      <c r="S15" s="2" t="s">
        <v>39</v>
      </c>
      <c r="T15" s="2" t="s">
        <v>52</v>
      </c>
    </row>
    <row r="16" spans="1:20" x14ac:dyDescent="0.35">
      <c r="A16" s="2">
        <v>16</v>
      </c>
      <c r="B16" s="3">
        <v>46281</v>
      </c>
      <c r="C16" s="2" t="s">
        <v>87</v>
      </c>
      <c r="D16" s="2" t="s">
        <v>88</v>
      </c>
      <c r="E16" s="2" t="s">
        <v>89</v>
      </c>
      <c r="F16" s="2" t="s">
        <v>30</v>
      </c>
      <c r="G16" s="2" t="s">
        <v>30</v>
      </c>
      <c r="H16" s="2" t="s">
        <v>36</v>
      </c>
      <c r="I16" s="2" t="s">
        <v>85</v>
      </c>
      <c r="J16" s="2" t="s">
        <v>71</v>
      </c>
      <c r="K16" s="2">
        <f t="shared" si="0"/>
        <v>70</v>
      </c>
      <c r="L16" s="2" t="s">
        <v>24</v>
      </c>
      <c r="M16" s="2" t="s">
        <v>25</v>
      </c>
      <c r="N16" s="3"/>
      <c r="O16" s="2" t="s">
        <v>26</v>
      </c>
      <c r="P16" s="3"/>
      <c r="Q16" s="2"/>
      <c r="R16" s="2"/>
      <c r="S16" s="2" t="s">
        <v>39</v>
      </c>
      <c r="T16" s="2" t="s">
        <v>52</v>
      </c>
    </row>
    <row r="17" spans="1:20" x14ac:dyDescent="0.35">
      <c r="A17" s="2">
        <v>17</v>
      </c>
      <c r="B17" s="3">
        <v>46281</v>
      </c>
      <c r="C17" s="2" t="s">
        <v>90</v>
      </c>
      <c r="D17" s="2" t="s">
        <v>88</v>
      </c>
      <c r="E17" s="2" t="s">
        <v>54</v>
      </c>
      <c r="F17" s="2" t="s">
        <v>30</v>
      </c>
      <c r="G17" s="2" t="s">
        <v>30</v>
      </c>
      <c r="H17" s="2" t="s">
        <v>36</v>
      </c>
      <c r="I17" s="2" t="s">
        <v>85</v>
      </c>
      <c r="J17" s="2" t="s">
        <v>81</v>
      </c>
      <c r="K17" s="2">
        <f t="shared" si="0"/>
        <v>50</v>
      </c>
      <c r="L17" s="2" t="s">
        <v>24</v>
      </c>
      <c r="M17" s="2" t="s">
        <v>25</v>
      </c>
      <c r="N17" s="3"/>
      <c r="O17" s="2" t="s">
        <v>26</v>
      </c>
      <c r="P17" s="3"/>
      <c r="Q17" s="2"/>
      <c r="R17" s="2"/>
      <c r="S17" s="2" t="s">
        <v>39</v>
      </c>
      <c r="T17" s="2" t="s">
        <v>52</v>
      </c>
    </row>
    <row r="18" spans="1:20" x14ac:dyDescent="0.35">
      <c r="A18" s="2">
        <v>18</v>
      </c>
      <c r="B18" s="3">
        <v>46281</v>
      </c>
      <c r="C18" s="2" t="s">
        <v>91</v>
      </c>
      <c r="D18" s="2" t="s">
        <v>88</v>
      </c>
      <c r="E18" s="2" t="s">
        <v>89</v>
      </c>
      <c r="F18" s="2" t="s">
        <v>30</v>
      </c>
      <c r="G18" s="2" t="s">
        <v>30</v>
      </c>
      <c r="H18" s="2" t="s">
        <v>36</v>
      </c>
      <c r="I18" s="2" t="s">
        <v>85</v>
      </c>
      <c r="J18" s="2" t="s">
        <v>92</v>
      </c>
      <c r="K18" s="2">
        <f t="shared" si="0"/>
        <v>80</v>
      </c>
      <c r="L18" s="2" t="s">
        <v>24</v>
      </c>
      <c r="M18" s="2" t="s">
        <v>25</v>
      </c>
      <c r="N18" s="3"/>
      <c r="O18" s="2" t="s">
        <v>26</v>
      </c>
      <c r="P18" s="3"/>
      <c r="Q18" s="2"/>
      <c r="R18" s="2"/>
      <c r="S18" s="2" t="s">
        <v>39</v>
      </c>
      <c r="T18" s="2" t="s">
        <v>52</v>
      </c>
    </row>
    <row r="19" spans="1:20" x14ac:dyDescent="0.35">
      <c r="A19" s="2">
        <v>19</v>
      </c>
      <c r="B19" s="3">
        <v>46281</v>
      </c>
      <c r="C19" s="2" t="s">
        <v>93</v>
      </c>
      <c r="D19" s="2" t="s">
        <v>94</v>
      </c>
      <c r="E19" s="2" t="s">
        <v>95</v>
      </c>
      <c r="F19" s="2" t="s">
        <v>30</v>
      </c>
      <c r="G19" s="2" t="s">
        <v>30</v>
      </c>
      <c r="H19" s="2" t="s">
        <v>36</v>
      </c>
      <c r="I19" s="2" t="s">
        <v>37</v>
      </c>
      <c r="J19" s="2" t="s">
        <v>96</v>
      </c>
      <c r="K19" s="2">
        <f t="shared" si="0"/>
        <v>30</v>
      </c>
      <c r="L19" s="2" t="s">
        <v>24</v>
      </c>
      <c r="M19" s="2" t="s">
        <v>25</v>
      </c>
      <c r="N19" s="3"/>
      <c r="O19" s="2" t="s">
        <v>26</v>
      </c>
      <c r="P19" s="3"/>
      <c r="Q19" s="2"/>
      <c r="R19" s="2"/>
      <c r="S19" s="2" t="s">
        <v>39</v>
      </c>
      <c r="T19" s="2" t="s">
        <v>97</v>
      </c>
    </row>
    <row r="20" spans="1:20" ht="29" x14ac:dyDescent="0.35">
      <c r="A20" s="2">
        <v>20</v>
      </c>
      <c r="B20" s="3">
        <v>46281</v>
      </c>
      <c r="C20" s="2" t="s">
        <v>98</v>
      </c>
      <c r="D20" s="2" t="s">
        <v>99</v>
      </c>
      <c r="E20" s="2" t="s">
        <v>54</v>
      </c>
      <c r="F20" s="2" t="s">
        <v>22</v>
      </c>
      <c r="G20" s="2" t="s">
        <v>30</v>
      </c>
      <c r="H20" s="2" t="s">
        <v>23</v>
      </c>
      <c r="I20" s="2" t="s">
        <v>100</v>
      </c>
      <c r="J20" s="2" t="s">
        <v>101</v>
      </c>
      <c r="K20" s="2">
        <f t="shared" si="0"/>
        <v>40</v>
      </c>
      <c r="L20" s="2" t="s">
        <v>24</v>
      </c>
      <c r="M20" s="2" t="s">
        <v>25</v>
      </c>
      <c r="N20" s="3"/>
      <c r="O20" s="2" t="s">
        <v>26</v>
      </c>
      <c r="P20" s="3"/>
      <c r="Q20" s="2"/>
      <c r="R20" s="2"/>
      <c r="S20" s="2" t="s">
        <v>39</v>
      </c>
      <c r="T20" s="2" t="s">
        <v>102</v>
      </c>
    </row>
  </sheetData>
  <autoFilter ref="A1:T20" xr:uid="{00000000-0009-0000-0000-000000000000}"/>
  <conditionalFormatting sqref="O2:O999">
    <cfRule type="expression" dxfId="2" priority="1">
      <formula>$O2="Offer"</formula>
    </cfRule>
    <cfRule type="expression" dxfId="1" priority="2">
      <formula>$O2="Rejected"</formula>
    </cfRule>
  </conditionalFormatting>
  <conditionalFormatting sqref="P2:P999">
    <cfRule type="expression" dxfId="0" priority="3">
      <formula>AND($P2&lt;&gt;"",$P2&lt;=TODAY(),$O2&lt;&gt;"Rejected",$O2&lt;&gt;"Offer")</formula>
    </cfRule>
  </conditionalFormatting>
  <dataValidations count="4">
    <dataValidation type="list" allowBlank="1" sqref="M2:M999" xr:uid="{00000000-0002-0000-0000-000000000000}">
      <formula1>"Yes,No"</formula1>
    </dataValidation>
    <dataValidation type="list" allowBlank="1" sqref="O2:O999" xr:uid="{00000000-0002-0000-0000-000001000000}">
      <formula1>"Not Applied,Applied,Shortlisted,Assessment,HR Round,Technical Round,Final Round,Offer,Rejected,On Hold"</formula1>
    </dataValidation>
    <dataValidation type="list" allowBlank="1" sqref="L2:L999" xr:uid="{00000000-0002-0000-0000-000002000000}">
      <formula1>"Needed,Requested,Referred,Not Needed"</formula1>
    </dataValidation>
    <dataValidation type="list" allowBlank="1" sqref="Q2:Q999" xr:uid="{00000000-0002-0000-0000-000003000000}">
      <formula1>"None,Assessment,HR Round,Technical Round,Final Round"</formula1>
    </dataValidation>
  </dataValidations>
  <hyperlinks>
    <hyperlink ref="I2" r:id="rId1" xr:uid="{1A42C7F0-4D59-4B7C-B71A-8A7A7C0D314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showGridLines="0" workbookViewId="0">
      <selection activeCell="D1" sqref="D1"/>
    </sheetView>
  </sheetViews>
  <sheetFormatPr defaultRowHeight="14.5" x14ac:dyDescent="0.35"/>
  <cols>
    <col min="1" max="1" width="42" customWidth="1"/>
    <col min="2" max="2" width="18" customWidth="1"/>
    <col min="4" max="4" width="24" customWidth="1"/>
    <col min="5" max="5" width="12" customWidth="1"/>
  </cols>
  <sheetData>
    <row r="1" spans="1:5" ht="26" x14ac:dyDescent="0.6">
      <c r="A1" s="4" t="s">
        <v>103</v>
      </c>
    </row>
    <row r="2" spans="1:5" x14ac:dyDescent="0.35">
      <c r="A2" s="5"/>
    </row>
    <row r="4" spans="1:5" ht="18.5" x14ac:dyDescent="0.45">
      <c r="A4" s="6" t="s">
        <v>104</v>
      </c>
      <c r="B4" s="7">
        <f>COUNTA('Job Tracker'!C2:C999)</f>
        <v>19</v>
      </c>
      <c r="D4" s="8" t="s">
        <v>14</v>
      </c>
      <c r="E4" s="8" t="s">
        <v>105</v>
      </c>
    </row>
    <row r="5" spans="1:5" ht="18.5" x14ac:dyDescent="0.45">
      <c r="A5" s="6" t="s">
        <v>106</v>
      </c>
      <c r="B5" s="7">
        <f>COUNTIF('Job Tracker'!M2:M999,"Yes")</f>
        <v>0</v>
      </c>
      <c r="D5" t="s">
        <v>26</v>
      </c>
      <c r="E5">
        <f>COUNTIF('Job Tracker'!O2:O999,D5)</f>
        <v>19</v>
      </c>
    </row>
    <row r="6" spans="1:5" ht="18.5" x14ac:dyDescent="0.45">
      <c r="A6" s="6" t="s">
        <v>107</v>
      </c>
      <c r="B6" s="7">
        <f>COUNTIF('Job Tracker'!O2:O999,"Shortlisted")</f>
        <v>0</v>
      </c>
      <c r="D6" t="s">
        <v>108</v>
      </c>
      <c r="E6">
        <f>COUNTIF('Job Tracker'!O2:O999,D6)</f>
        <v>0</v>
      </c>
    </row>
    <row r="7" spans="1:5" ht="18.5" x14ac:dyDescent="0.45">
      <c r="A7" s="6" t="s">
        <v>109</v>
      </c>
      <c r="B7" s="7">
        <f>COUNTIF('Job Tracker'!O2:O999,"*Round")</f>
        <v>0</v>
      </c>
      <c r="D7" t="s">
        <v>107</v>
      </c>
      <c r="E7">
        <f>COUNTIF('Job Tracker'!O2:O999,D7)</f>
        <v>0</v>
      </c>
    </row>
    <row r="8" spans="1:5" ht="18.5" x14ac:dyDescent="0.45">
      <c r="A8" s="6" t="s">
        <v>110</v>
      </c>
      <c r="B8" s="7">
        <f>COUNTIF('Job Tracker'!O2:O999,"Offer")</f>
        <v>0</v>
      </c>
      <c r="D8" t="s">
        <v>111</v>
      </c>
      <c r="E8">
        <f>COUNTIF('Job Tracker'!O2:O999,D8)</f>
        <v>0</v>
      </c>
    </row>
    <row r="9" spans="1:5" ht="18.5" x14ac:dyDescent="0.45">
      <c r="A9" s="6" t="s">
        <v>112</v>
      </c>
      <c r="B9" s="7">
        <f>COUNTIF('Job Tracker'!O2:O999,"Rejected")</f>
        <v>0</v>
      </c>
      <c r="D9" t="s">
        <v>113</v>
      </c>
      <c r="E9">
        <f>COUNTIF('Job Tracker'!O2:O999,D9)</f>
        <v>0</v>
      </c>
    </row>
    <row r="10" spans="1:5" ht="18.5" x14ac:dyDescent="0.45">
      <c r="A10" s="6" t="s">
        <v>114</v>
      </c>
      <c r="B10" s="7">
        <f ca="1">COUNTIFS('Job Tracker'!P2:P999,"&lt;="&amp;TODAY(),'Job Tracker'!P2:P999,"&gt;0",'Job Tracker'!O2:O999,"&lt;&gt;Rejected",'Job Tracker'!O2:O999,"&lt;&gt;Offer")</f>
        <v>0</v>
      </c>
      <c r="D10" t="s">
        <v>115</v>
      </c>
      <c r="E10">
        <f>COUNTIF('Job Tracker'!O2:O999,D10)</f>
        <v>0</v>
      </c>
    </row>
    <row r="11" spans="1:5" x14ac:dyDescent="0.35">
      <c r="D11" t="s">
        <v>116</v>
      </c>
      <c r="E11">
        <f>COUNTIF('Job Tracker'!O2:O999,D11)</f>
        <v>0</v>
      </c>
    </row>
    <row r="12" spans="1:5" x14ac:dyDescent="0.35">
      <c r="D12" t="s">
        <v>117</v>
      </c>
      <c r="E12">
        <f>COUNTIF('Job Tracker'!O2:O999,D12)</f>
        <v>0</v>
      </c>
    </row>
    <row r="13" spans="1:5" ht="18.5" x14ac:dyDescent="0.45">
      <c r="A13" s="9" t="s">
        <v>118</v>
      </c>
      <c r="D13" t="s">
        <v>112</v>
      </c>
      <c r="E13">
        <f>COUNTIF('Job Tracker'!O2:O999,D13)</f>
        <v>0</v>
      </c>
    </row>
    <row r="14" spans="1:5" x14ac:dyDescent="0.35">
      <c r="A14" t="s">
        <v>119</v>
      </c>
      <c r="D14" t="s">
        <v>120</v>
      </c>
      <c r="E14">
        <f>COUNTIF('Job Tracker'!O2:O999,D14)</f>
        <v>0</v>
      </c>
    </row>
    <row r="15" spans="1:5" x14ac:dyDescent="0.35">
      <c r="A15" t="s">
        <v>121</v>
      </c>
    </row>
    <row r="16" spans="1:5" x14ac:dyDescent="0.35">
      <c r="A16" t="s">
        <v>122</v>
      </c>
    </row>
    <row r="17" spans="1:1" x14ac:dyDescent="0.35">
      <c r="A17" t="s">
        <v>123</v>
      </c>
    </row>
    <row r="18" spans="1:1" x14ac:dyDescent="0.35">
      <c r="A18" t="s">
        <v>124</v>
      </c>
    </row>
    <row r="19" spans="1:1" x14ac:dyDescent="0.35">
      <c r="A19" t="s">
        <v>125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B14" sqref="B14"/>
    </sheetView>
  </sheetViews>
  <sheetFormatPr defaultRowHeight="14.5" x14ac:dyDescent="0.35"/>
  <cols>
    <col min="1" max="1" width="28" customWidth="1"/>
    <col min="3" max="3" width="28" customWidth="1"/>
    <col min="5" max="5" width="28" customWidth="1"/>
  </cols>
  <sheetData>
    <row r="1" spans="1:5" ht="21" x14ac:dyDescent="0.5">
      <c r="A1" s="10" t="s">
        <v>126</v>
      </c>
    </row>
    <row r="3" spans="1:5" x14ac:dyDescent="0.35">
      <c r="A3" s="8" t="s">
        <v>127</v>
      </c>
      <c r="C3" s="8" t="s">
        <v>128</v>
      </c>
      <c r="E3" s="8" t="s">
        <v>129</v>
      </c>
    </row>
    <row r="4" spans="1:5" x14ac:dyDescent="0.35">
      <c r="A4" t="s">
        <v>26</v>
      </c>
      <c r="C4" t="s">
        <v>31</v>
      </c>
      <c r="E4" t="s">
        <v>130</v>
      </c>
    </row>
    <row r="5" spans="1:5" x14ac:dyDescent="0.35">
      <c r="A5" t="s">
        <v>108</v>
      </c>
      <c r="C5" t="s">
        <v>23</v>
      </c>
      <c r="E5" t="s">
        <v>131</v>
      </c>
    </row>
    <row r="6" spans="1:5" x14ac:dyDescent="0.35">
      <c r="A6" t="s">
        <v>107</v>
      </c>
      <c r="C6" t="s">
        <v>36</v>
      </c>
      <c r="E6" t="s">
        <v>132</v>
      </c>
    </row>
    <row r="7" spans="1:5" x14ac:dyDescent="0.35">
      <c r="A7" t="s">
        <v>111</v>
      </c>
      <c r="C7" t="s">
        <v>44</v>
      </c>
      <c r="E7" t="s">
        <v>133</v>
      </c>
    </row>
    <row r="8" spans="1:5" x14ac:dyDescent="0.35">
      <c r="A8" t="s">
        <v>113</v>
      </c>
      <c r="C8" t="s">
        <v>134</v>
      </c>
      <c r="E8" t="s">
        <v>135</v>
      </c>
    </row>
    <row r="9" spans="1:5" x14ac:dyDescent="0.35">
      <c r="A9" t="s">
        <v>115</v>
      </c>
      <c r="C9" t="s">
        <v>136</v>
      </c>
      <c r="E9" t="s">
        <v>137</v>
      </c>
    </row>
    <row r="10" spans="1:5" x14ac:dyDescent="0.35">
      <c r="A10" t="s">
        <v>116</v>
      </c>
      <c r="C10" t="s">
        <v>11</v>
      </c>
      <c r="E10" t="s">
        <v>138</v>
      </c>
    </row>
    <row r="11" spans="1:5" x14ac:dyDescent="0.35">
      <c r="A11" t="s">
        <v>117</v>
      </c>
      <c r="C11" t="s">
        <v>139</v>
      </c>
      <c r="E11" t="s">
        <v>140</v>
      </c>
    </row>
    <row r="12" spans="1:5" x14ac:dyDescent="0.35">
      <c r="A12" t="s">
        <v>112</v>
      </c>
      <c r="E12" t="s">
        <v>141</v>
      </c>
    </row>
    <row r="13" spans="1:5" x14ac:dyDescent="0.35">
      <c r="A13" t="s">
        <v>120</v>
      </c>
      <c r="E13" t="s">
        <v>142</v>
      </c>
    </row>
    <row r="14" spans="1:5" x14ac:dyDescent="0.35">
      <c r="E14" t="s">
        <v>143</v>
      </c>
    </row>
    <row r="15" spans="1:5" x14ac:dyDescent="0.35">
      <c r="E15" t="s">
        <v>144</v>
      </c>
    </row>
    <row r="16" spans="1:5" x14ac:dyDescent="0.35">
      <c r="E16" t="s">
        <v>145</v>
      </c>
    </row>
    <row r="20" spans="1:6" x14ac:dyDescent="0.35">
      <c r="A20" s="11" t="s">
        <v>146</v>
      </c>
      <c r="B20" s="12"/>
      <c r="C20" s="12"/>
      <c r="D20" s="12"/>
      <c r="E20" s="12"/>
      <c r="F20" s="12"/>
    </row>
    <row r="21" spans="1:6" x14ac:dyDescent="0.35">
      <c r="A21" s="12"/>
      <c r="B21" s="12"/>
      <c r="C21" s="12"/>
      <c r="D21" s="12"/>
      <c r="E21" s="12"/>
      <c r="F21" s="12"/>
    </row>
  </sheetData>
  <mergeCells count="1">
    <mergeCell ref="A20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Tracker</vt:lpstr>
      <vt:lpstr>Dashboard</vt:lpstr>
      <vt:lpstr>Lists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Shilpee Srivastava</cp:lastModifiedBy>
  <dcterms:created xsi:type="dcterms:W3CDTF">2026-09-16T17:00:24Z</dcterms:created>
  <dcterms:modified xsi:type="dcterms:W3CDTF">2026-09-16T17:47:58Z</dcterms:modified>
</cp:coreProperties>
</file>